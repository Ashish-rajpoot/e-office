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python\eoffice\data\"/>
    </mc:Choice>
  </mc:AlternateContent>
  <bookViews>
    <workbookView xWindow="0" yWindow="0" windowWidth="28800" windowHeight="12210"/>
  </bookViews>
  <sheets>
    <sheet name="Sheet1" sheetId="1" r:id="rId1"/>
    <sheet name="Sheet1 (2)" sheetId="2" r:id="rId2"/>
  </sheets>
  <definedNames>
    <definedName name="_xlnm._FilterDatabase" localSheetId="0" hidden="1">Sheet1!$A$1:$D$18</definedName>
    <definedName name="_xlnm._FilterDatabase" localSheetId="1" hidden="1">'Sheet1 (2)'!$A$1:$D$18</definedName>
    <definedName name="_xlnm.Print_Area" localSheetId="0">Sheet1!$A$1:$D$18</definedName>
    <definedName name="_xlnm.Print_Area" localSheetId="1">'Sheet1 (2)'!$A$1:$D$18</definedName>
    <definedName name="_xlnm.Print_Titles" localSheetId="0">Sheet1!$1:$1</definedName>
    <definedName name="_xlnm.Print_Titles" localSheetId="1">'Sheet1 (2)'!$1:$1</definedName>
  </definedNames>
  <calcPr calcId="162913"/>
</workbook>
</file>

<file path=xl/calcChain.xml><?xml version="1.0" encoding="utf-8"?>
<calcChain xmlns="http://schemas.openxmlformats.org/spreadsheetml/2006/main">
  <c r="A18" i="2" l="1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<sst xmlns="http://schemas.openxmlformats.org/spreadsheetml/2006/main" count="172" uniqueCount="61">
  <si>
    <t>Sr. No.</t>
  </si>
  <si>
    <t>Full Name with Designation</t>
  </si>
  <si>
    <t>Mobile No</t>
  </si>
  <si>
    <t>Date</t>
  </si>
  <si>
    <t>Time</t>
  </si>
  <si>
    <t>Status</t>
  </si>
  <si>
    <t>Flag</t>
  </si>
  <si>
    <t>ARUN VERMA (S.A)</t>
  </si>
  <si>
    <t>2026-06-23</t>
  </si>
  <si>
    <t>15:38:49</t>
  </si>
  <si>
    <t>Login Successful</t>
  </si>
  <si>
    <t>Y</t>
  </si>
  <si>
    <t>MOHD. IMRAN  (S.A)</t>
  </si>
  <si>
    <t>11:22:15</t>
  </si>
  <si>
    <t>NARENDRA KUMAR  (A.E)</t>
  </si>
  <si>
    <t>18:05:36</t>
  </si>
  <si>
    <t>NARESH KUMAR TYAGI (A.E)</t>
  </si>
  <si>
    <t>11:36:39</t>
  </si>
  <si>
    <t>RAJKUMAR VERMA (D.A.O)</t>
  </si>
  <si>
    <t>18:07:06</t>
  </si>
  <si>
    <t>Failed - Exception</t>
  </si>
  <si>
    <t>N</t>
  </si>
  <si>
    <t>RAMAKANT (J.E)</t>
  </si>
  <si>
    <t>18:10:04</t>
  </si>
  <si>
    <t>RIZWAN (S.A)</t>
  </si>
  <si>
    <t>18:13:12</t>
  </si>
  <si>
    <t>SANTOSH (S.A)</t>
  </si>
  <si>
    <t>15:02:55</t>
  </si>
  <si>
    <t>SARFARAZ HASAN ANSARI (S.A)</t>
  </si>
  <si>
    <t>15:04:59</t>
  </si>
  <si>
    <t>Failed - NoSuchWindowException</t>
  </si>
  <si>
    <t>SATANAND GAUTAM (H.A)</t>
  </si>
  <si>
    <t>SHAFIULLA (J.E)</t>
  </si>
  <si>
    <t>SHAILENDRA AWASTHI (S.A)</t>
  </si>
  <si>
    <t>SHRICHANDRA NISHAD (J.E)</t>
  </si>
  <si>
    <t>SUNIL KUMAR (S.A)</t>
  </si>
  <si>
    <t>UMESH KUMAR (S.A)</t>
  </si>
  <si>
    <t>URMILESH GAURAV (J.A)</t>
  </si>
  <si>
    <t>ANIL KUMAR (E.E)</t>
  </si>
  <si>
    <t>2026-06-22</t>
  </si>
  <si>
    <t>11:13:13</t>
  </si>
  <si>
    <t>done</t>
  </si>
  <si>
    <t>11:15:18</t>
  </si>
  <si>
    <t>2026-06-20</t>
  </si>
  <si>
    <t>21:10:51</t>
  </si>
  <si>
    <t>Failed - InvalidSessionIdException</t>
  </si>
  <si>
    <t>11:27:51</t>
  </si>
  <si>
    <t>21:20:24</t>
  </si>
  <si>
    <t>Timeout</t>
  </si>
  <si>
    <t>21:22:25</t>
  </si>
  <si>
    <t>Click Intercepted</t>
  </si>
  <si>
    <t>21:24:32</t>
  </si>
  <si>
    <t>21:26:20</t>
  </si>
  <si>
    <t>21:28:04</t>
  </si>
  <si>
    <t>21:28:57</t>
  </si>
  <si>
    <t>21:29:31</t>
  </si>
  <si>
    <t>21:31:21</t>
  </si>
  <si>
    <t>21:31:56</t>
  </si>
  <si>
    <t>21:34:06</t>
  </si>
  <si>
    <t>21:35:55</t>
  </si>
  <si>
    <t>21:38:21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</si>
</sst>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14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</cellXfs>
  <cellStyles count="1">
    <cellStyle name="Normal" xfId="0" builtinId="0"/>
  </cellStyles>
  <dxfs count="4"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H18"/>
  <sheetViews>
    <sheetView tabSelected="1" zoomScale="145" zoomScaleNormal="145" zoomScaleSheetLayoutView="160" workbookViewId="0">
      <selection activeCell="J12" sqref="J12"/>
    </sheetView>
  </sheetViews>
  <sheetFormatPr defaultRowHeight="18.75" x14ac:dyDescent="0.2"/>
  <cols>
    <col min="1" max="1" width="11" style="1" bestFit="1" customWidth="1"/>
    <col min="2" max="2" width="33" style="1" customWidth="1"/>
    <col min="3" max="3" width="14.28515625" style="1" bestFit="1" customWidth="1"/>
    <col min="4" max="4" width="14.28515625" style="1" customWidth="1"/>
    <col min="5" max="6" width="9.140625" style="1" customWidth="1"/>
    <col min="7" max="7" width="21.42578125" style="1" customWidth="1"/>
    <col min="8" max="21" width="9.140625" style="1" customWidth="1"/>
    <col min="22" max="16384" width="9.140625" style="1"/>
  </cols>
  <sheetData>
    <row r="1" spans="1:8" s="3" customFormat="1" ht="12.75" customHeight="1" x14ac:dyDescent="0.2">
      <c r="A1" s="2" t="s">
        <v>0</v>
      </c>
      <c r="B1" s="2" t="s">
        <v>1</v>
      </c>
      <c r="C1" s="2" t="s">
        <v>2</v>
      </c>
      <c r="D1" s="2"/>
      <c r="E1" s="3" t="s">
        <v>3</v>
      </c>
      <c r="F1" s="3" t="s">
        <v>4</v>
      </c>
      <c r="G1" s="3" t="s">
        <v>5</v>
      </c>
      <c r="H1" s="3" t="s">
        <v>6</v>
      </c>
    </row>
    <row r="2" spans="1:8" s="6" customFormat="1" ht="15.75" customHeight="1" x14ac:dyDescent="0.2">
      <c r="A2" s="4">
        <f>+SUBTOTAL(103,B1:$B$1)</f>
        <v>1</v>
      </c>
      <c r="B2" s="5" t="s">
        <v>7</v>
      </c>
      <c r="C2" s="4">
        <v>8115283942</v>
      </c>
      <c r="D2" s="4">
        <v>820070</v>
      </c>
      <c r="E2" t="s">
        <v>8</v>
      </c>
      <c r="F2" t="s">
        <v>9</v>
      </c>
      <c r="G2" t="s">
        <v>10</v>
      </c>
      <c r="H2" s="6" t="s">
        <v>11</v>
      </c>
    </row>
    <row r="3" spans="1:8" s="6" customFormat="1" ht="15.75" customHeight="1" x14ac:dyDescent="0.2">
      <c r="A3" s="4">
        <f>+SUBTOTAL(103,B$1:$B2)</f>
        <v>2</v>
      </c>
      <c r="B3" s="5" t="s">
        <v>12</v>
      </c>
      <c r="C3" s="4">
        <v>7905404813</v>
      </c>
      <c r="D3" s="4">
        <v>819726</v>
      </c>
      <c r="E3" t="s">
        <v>8</v>
      </c>
      <c r="F3" t="s">
        <v>13</v>
      </c>
      <c r="G3" t="s">
        <v>10</v>
      </c>
      <c r="H3" s="6" t="s">
        <v>11</v>
      </c>
    </row>
    <row r="4" spans="1:8" s="6" customFormat="1" ht="15.75" customHeight="1" x14ac:dyDescent="0.2">
      <c r="A4" s="4">
        <f>+SUBTOTAL(103,B$1:$B3)</f>
        <v>3</v>
      </c>
      <c r="B4" s="5" t="s">
        <v>14</v>
      </c>
      <c r="C4" s="4">
        <v>7007229906</v>
      </c>
      <c r="D4" s="4">
        <v>824324</v>
      </c>
      <c r="E4" t="s">
        <v>8</v>
      </c>
      <c r="F4" t="s">
        <v>15</v>
      </c>
      <c r="G4" t="s">
        <v>10</v>
      </c>
      <c r="H4" s="6" t="s">
        <v>11</v>
      </c>
    </row>
    <row r="5" spans="1:8" s="6" customFormat="1" ht="15.75" customHeight="1" x14ac:dyDescent="0.2">
      <c r="A5" s="4">
        <f>+SUBTOTAL(103,B$1:$B4)</f>
        <v>4</v>
      </c>
      <c r="B5" s="5" t="s">
        <v>16</v>
      </c>
      <c r="C5" s="4">
        <v>9412572831</v>
      </c>
      <c r="D5" s="4">
        <v>1097458</v>
      </c>
      <c r="E5" t="s">
        <v>8</v>
      </c>
      <c r="F5" t="s">
        <v>17</v>
      </c>
      <c r="G5" t="s">
        <v>10</v>
      </c>
      <c r="H5" s="6" t="s">
        <v>11</v>
      </c>
    </row>
    <row r="6" spans="1:8" s="6" customFormat="1" ht="15.75" customHeight="1" x14ac:dyDescent="0.2">
      <c r="A6" s="4">
        <f>+SUBTOTAL(103,B$1:$B5)</f>
        <v>5</v>
      </c>
      <c r="B6" s="5" t="s">
        <v>18</v>
      </c>
      <c r="C6" s="4">
        <v>7705017103</v>
      </c>
      <c r="D6" s="4">
        <v>1499823</v>
      </c>
      <c r="E6" t="s">
        <v>8</v>
      </c>
      <c r="F6" t="s">
        <v>19</v>
      </c>
      <c r="G6" t="s">
        <v>20</v>
      </c>
      <c r="H6" s="6" t="s">
        <v>11</v>
      </c>
    </row>
    <row r="7" spans="1:8" s="6" customFormat="1" ht="15.75" customHeight="1" x14ac:dyDescent="0.2">
      <c r="A7" s="4">
        <f>+SUBTOTAL(103,B$1:$B6)</f>
        <v>6</v>
      </c>
      <c r="B7" s="5" t="s">
        <v>22</v>
      </c>
      <c r="C7" s="4">
        <v>9411992977</v>
      </c>
      <c r="D7" s="4">
        <v>816047</v>
      </c>
      <c r="E7" t="s">
        <v>8</v>
      </c>
      <c r="F7" t="s">
        <v>23</v>
      </c>
      <c r="G7" t="s">
        <v>10</v>
      </c>
      <c r="H7" s="6" t="s">
        <v>11</v>
      </c>
    </row>
    <row r="8" spans="1:8" s="6" customFormat="1" ht="15.75" customHeight="1" x14ac:dyDescent="0.2">
      <c r="A8" s="4">
        <f>+SUBTOTAL(103,B$1:$B7)</f>
        <v>7</v>
      </c>
      <c r="B8" s="5" t="s">
        <v>24</v>
      </c>
      <c r="C8" s="4">
        <v>8090728471</v>
      </c>
      <c r="D8" s="4">
        <v>819694</v>
      </c>
      <c r="E8" t="s">
        <v>8</v>
      </c>
      <c r="F8" t="s">
        <v>25</v>
      </c>
      <c r="G8" t="s">
        <v>10</v>
      </c>
      <c r="H8" s="6" t="s">
        <v>11</v>
      </c>
    </row>
    <row r="9" spans="1:8" s="6" customFormat="1" ht="15.75" customHeight="1" x14ac:dyDescent="0.2">
      <c r="A9" s="4">
        <f>+SUBTOTAL(103,B$1:$B8)</f>
        <v>8</v>
      </c>
      <c r="B9" s="5" t="s">
        <v>26</v>
      </c>
      <c r="C9" s="4">
        <v>7398948378</v>
      </c>
      <c r="D9" s="4">
        <v>1095051</v>
      </c>
      <c r="E9" t="s">
        <v>8</v>
      </c>
      <c r="F9" t="s">
        <v>27</v>
      </c>
      <c r="G9" t="s">
        <v>20</v>
      </c>
      <c r="H9" s="6" t="s">
        <v>11</v>
      </c>
    </row>
    <row r="10" spans="1:8" s="6" customFormat="1" ht="15.75" customHeight="1" x14ac:dyDescent="0.2">
      <c r="A10" s="4">
        <f>+SUBTOTAL(103,B$1:$B9)</f>
        <v>9</v>
      </c>
      <c r="B10" s="7" t="s">
        <v>28</v>
      </c>
      <c r="C10" s="4">
        <v>9506918987</v>
      </c>
      <c r="D10" s="4">
        <v>1339815</v>
      </c>
      <c r="E10" t="s">
        <v>8</v>
      </c>
      <c r="F10" t="s">
        <v>29</v>
      </c>
      <c r="G10" t="s">
        <v>30</v>
      </c>
      <c r="H10" s="6" t="s">
        <v>11</v>
      </c>
    </row>
    <row r="11" spans="1:8" s="6" customFormat="1" ht="15.75" customHeight="1" x14ac:dyDescent="0.2">
      <c r="A11" s="4">
        <f>+SUBTOTAL(103,B$1:$B10)</f>
        <v>10</v>
      </c>
      <c r="B11" s="5" t="s">
        <v>31</v>
      </c>
      <c r="C11" s="4">
        <v>9450850560</v>
      </c>
      <c r="D11" s="4">
        <v>819830</v>
      </c>
      <c r="H11" s="6" t="s">
        <v>11</v>
      </c>
    </row>
    <row r="12" spans="1:8" s="6" customFormat="1" ht="15.75" customHeight="1" x14ac:dyDescent="0.2">
      <c r="A12" s="4">
        <f>+SUBTOTAL(103,B$1:$B11)</f>
        <v>11</v>
      </c>
      <c r="B12" s="5" t="s">
        <v>32</v>
      </c>
      <c r="C12" s="4">
        <v>9451936250</v>
      </c>
      <c r="D12" s="4">
        <v>814655</v>
      </c>
      <c r="H12" s="6" t="s">
        <v>11</v>
      </c>
    </row>
    <row r="13" spans="1:8" s="6" customFormat="1" ht="15.75" customHeight="1" x14ac:dyDescent="0.2">
      <c r="A13" s="4">
        <f>+SUBTOTAL(103,B$1:$B12)</f>
        <v>12</v>
      </c>
      <c r="B13" s="5" t="s">
        <v>33</v>
      </c>
      <c r="C13" s="4">
        <v>8924810810</v>
      </c>
      <c r="D13" s="4">
        <v>819711</v>
      </c>
      <c r="H13" s="6" t="s">
        <v>11</v>
      </c>
    </row>
    <row r="14" spans="1:8" s="6" customFormat="1" ht="15.75" customHeight="1" x14ac:dyDescent="0.2">
      <c r="A14" s="4">
        <f>+SUBTOTAL(103,B$1:$B13)</f>
        <v>13</v>
      </c>
      <c r="B14" s="5" t="s">
        <v>34</v>
      </c>
      <c r="C14" s="4">
        <v>9569045382</v>
      </c>
      <c r="D14" s="4">
        <v>820053</v>
      </c>
      <c r="H14" s="6" t="s">
        <v>11</v>
      </c>
    </row>
    <row r="15" spans="1:8" s="6" customFormat="1" ht="15.75" customHeight="1" x14ac:dyDescent="0.2">
      <c r="A15" s="4">
        <f>+SUBTOTAL(103,B$1:$B14)</f>
        <v>14</v>
      </c>
      <c r="B15" s="5" t="s">
        <v>35</v>
      </c>
      <c r="C15" s="4">
        <v>9236663447</v>
      </c>
      <c r="D15" s="4">
        <v>1338863</v>
      </c>
      <c r="H15" s="6" t="s">
        <v>11</v>
      </c>
    </row>
    <row r="16" spans="1:8" s="6" customFormat="1" ht="15.75" customHeight="1" x14ac:dyDescent="0.2">
      <c r="A16" s="4">
        <f>+SUBTOTAL(103,B$1:$B15)</f>
        <v>15</v>
      </c>
      <c r="B16" s="5" t="s">
        <v>36</v>
      </c>
      <c r="C16" s="4">
        <v>8423876092</v>
      </c>
      <c r="D16" s="4">
        <v>819736</v>
      </c>
      <c r="H16" s="6" t="s">
        <v>11</v>
      </c>
    </row>
    <row r="17" spans="1:8" s="6" customFormat="1" ht="15.75" customHeight="1" x14ac:dyDescent="0.2">
      <c r="A17" s="4">
        <f>+SUBTOTAL(103,B$1:$B16)</f>
        <v>16</v>
      </c>
      <c r="B17" s="5" t="s">
        <v>37</v>
      </c>
      <c r="C17" s="4">
        <v>7457987114</v>
      </c>
      <c r="D17" s="4">
        <v>1676131</v>
      </c>
      <c r="H17" s="6" t="s">
        <v>11</v>
      </c>
    </row>
    <row r="18" spans="1:8" s="6" customFormat="1" ht="15.75" customHeight="1" x14ac:dyDescent="0.2">
      <c r="A18" s="4">
        <f>+SUBTOTAL(103,B$1:$B17)</f>
        <v>17</v>
      </c>
      <c r="B18" s="5" t="s">
        <v>38</v>
      </c>
      <c r="C18" s="4">
        <v>9412430321</v>
      </c>
      <c r="D18" s="4">
        <v>1095097</v>
      </c>
      <c r="H18" s="6" t="s">
        <v>21</v>
      </c>
    </row>
  </sheetData>
  <autoFilter ref="A1:D18">
    <sortState ref="A3:P20">
      <sortCondition ref="B2:B20"/>
    </sortState>
  </autoFilter>
  <conditionalFormatting sqref="B2:B18">
    <cfRule type="expression" dxfId="3" priority="1">
      <formula>IF(#REF!&lt;&gt;"ü",1,IF(#REF!&lt;&gt;TEXT(TODAY(),"mmm"),1,0))=1</formula>
    </cfRule>
    <cfRule type="expression" dxfId="2" priority="2">
      <formula>IF(#REF!&lt;&gt;"ü",1,IF(#REF!&lt;&gt;TEXT(TODAY(),"mmm"),1,0))=0</formula>
    </cfRule>
  </conditionalFormatting>
  <pageMargins left="0.31496062992125978" right="0.15748031496062989" top="0.39370078740157483" bottom="0.55118110236220474" header="0.19685039370078741" footer="0.15748031496062989"/>
  <pageSetup paperSize="9" scale="72" orientation="portrait"/>
  <headerFooter>
    <oddFooter>&amp;L&amp;7 &amp;Z&amp;F               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J18"/>
  <sheetViews>
    <sheetView zoomScale="145" zoomScaleNormal="145" zoomScaleSheetLayoutView="160" workbookViewId="0">
      <selection activeCell="B2" sqref="B2:C18"/>
    </sheetView>
  </sheetViews>
  <sheetFormatPr defaultRowHeight="18.75" x14ac:dyDescent="0.2"/>
  <cols>
    <col min="1" max="1" width="11" style="1" bestFit="1" customWidth="1"/>
    <col min="2" max="2" width="33" style="1" customWidth="1"/>
    <col min="3" max="3" width="14.28515625" style="1" bestFit="1" customWidth="1"/>
    <col min="4" max="4" width="14.28515625" style="1" customWidth="1"/>
    <col min="5" max="6" width="9.140625" style="1" customWidth="1"/>
    <col min="7" max="7" width="21.42578125" style="1" customWidth="1"/>
    <col min="8" max="21" width="9.140625" style="1" customWidth="1"/>
    <col min="22" max="16384" width="9.140625" style="1"/>
  </cols>
  <sheetData>
    <row r="1" spans="1:10" s="3" customFormat="1" ht="12.75" customHeight="1" x14ac:dyDescent="0.2">
      <c r="A1" s="2" t="s">
        <v>0</v>
      </c>
      <c r="B1" s="2" t="s">
        <v>1</v>
      </c>
      <c r="C1" s="2" t="s">
        <v>2</v>
      </c>
      <c r="D1" s="2"/>
      <c r="H1" s="3" t="s">
        <v>6</v>
      </c>
    </row>
    <row r="2" spans="1:10" s="6" customFormat="1" ht="15.75" customHeight="1" x14ac:dyDescent="0.2">
      <c r="A2" s="4">
        <f>+SUBTOTAL(103,B2:$B$2)</f>
        <v>1</v>
      </c>
      <c r="B2" s="5" t="s">
        <v>38</v>
      </c>
      <c r="C2" s="4">
        <v>9412430321</v>
      </c>
      <c r="D2" s="4">
        <v>1095097</v>
      </c>
      <c r="E2" t="s">
        <v>39</v>
      </c>
      <c r="F2" t="s">
        <v>40</v>
      </c>
      <c r="G2" t="s">
        <v>10</v>
      </c>
      <c r="H2" s="6" t="s">
        <v>11</v>
      </c>
      <c r="J2" s="6" t="s">
        <v>41</v>
      </c>
    </row>
    <row r="3" spans="1:10" s="6" customFormat="1" ht="15.75" customHeight="1" x14ac:dyDescent="0.2">
      <c r="A3" s="4">
        <f>+SUBTOTAL(103,B$2:$B3)</f>
        <v>2</v>
      </c>
      <c r="B3" s="5" t="s">
        <v>7</v>
      </c>
      <c r="C3" s="4">
        <v>8115283942</v>
      </c>
      <c r="D3" s="4">
        <v>820070</v>
      </c>
      <c r="E3" t="s">
        <v>39</v>
      </c>
      <c r="F3" t="s">
        <v>42</v>
      </c>
      <c r="G3" t="s">
        <v>10</v>
      </c>
      <c r="H3" s="6" t="s">
        <v>11</v>
      </c>
      <c r="J3" s="6" t="s">
        <v>41</v>
      </c>
    </row>
    <row r="4" spans="1:10" s="6" customFormat="1" ht="15.75" customHeight="1" x14ac:dyDescent="0.2">
      <c r="A4" s="4">
        <f>+SUBTOTAL(103,B$2:$B4)</f>
        <v>3</v>
      </c>
      <c r="B4" s="5" t="s">
        <v>12</v>
      </c>
      <c r="C4" s="4">
        <v>7905404813</v>
      </c>
      <c r="D4" s="4">
        <v>819726</v>
      </c>
      <c r="E4" t="s">
        <v>43</v>
      </c>
      <c r="F4" t="s">
        <v>44</v>
      </c>
      <c r="G4" t="s">
        <v>10</v>
      </c>
      <c r="H4" s="6" t="s">
        <v>11</v>
      </c>
      <c r="J4" s="6" t="s">
        <v>41</v>
      </c>
    </row>
    <row r="5" spans="1:10" s="6" customFormat="1" ht="15.75" customHeight="1" x14ac:dyDescent="0.2">
      <c r="A5" s="4">
        <f>+SUBTOTAL(103,B$2:$B5)</f>
        <v>4</v>
      </c>
      <c r="B5" s="5" t="s">
        <v>14</v>
      </c>
      <c r="C5" s="4">
        <v>7007229906</v>
      </c>
      <c r="D5" s="4">
        <v>824324</v>
      </c>
      <c r="E5" t="s">
        <v>39</v>
      </c>
      <c r="F5" t="s">
        <v>13</v>
      </c>
      <c r="G5" t="s">
        <v>45</v>
      </c>
      <c r="H5" s="6" t="s">
        <v>11</v>
      </c>
      <c r="J5" s="6" t="s">
        <v>41</v>
      </c>
    </row>
    <row r="6" spans="1:10" s="6" customFormat="1" ht="15.75" customHeight="1" x14ac:dyDescent="0.2">
      <c r="A6" s="4">
        <f>+SUBTOTAL(103,B$2:$B6)</f>
        <v>5</v>
      </c>
      <c r="B6" s="5" t="s">
        <v>16</v>
      </c>
      <c r="C6" s="4">
        <v>9412572831</v>
      </c>
      <c r="D6" s="4">
        <v>1097458</v>
      </c>
      <c r="E6" t="s">
        <v>39</v>
      </c>
      <c r="F6" t="s">
        <v>46</v>
      </c>
      <c r="G6" t="s">
        <v>10</v>
      </c>
      <c r="H6" s="6" t="s">
        <v>11</v>
      </c>
      <c r="J6" s="6" t="s">
        <v>41</v>
      </c>
    </row>
    <row r="7" spans="1:10" s="6" customFormat="1" ht="15.75" customHeight="1" x14ac:dyDescent="0.2">
      <c r="A7" s="4">
        <f>+SUBTOTAL(103,B$2:$B7)</f>
        <v>6</v>
      </c>
      <c r="B7" s="5" t="s">
        <v>18</v>
      </c>
      <c r="C7" s="4">
        <v>7705017103</v>
      </c>
      <c r="D7" s="4">
        <v>1499823</v>
      </c>
      <c r="E7" t="s">
        <v>43</v>
      </c>
      <c r="F7" t="s">
        <v>47</v>
      </c>
      <c r="G7" t="s">
        <v>48</v>
      </c>
      <c r="H7" s="6" t="s">
        <v>21</v>
      </c>
    </row>
    <row r="8" spans="1:10" s="6" customFormat="1" ht="15.75" customHeight="1" x14ac:dyDescent="0.2">
      <c r="A8" s="4">
        <f>+SUBTOTAL(103,B$2:$B8)</f>
        <v>7</v>
      </c>
      <c r="B8" s="5" t="s">
        <v>22</v>
      </c>
      <c r="C8" s="4">
        <v>9411992977</v>
      </c>
      <c r="D8" s="4">
        <v>816047</v>
      </c>
      <c r="E8" t="s">
        <v>43</v>
      </c>
      <c r="F8" t="s">
        <v>49</v>
      </c>
      <c r="G8" t="s">
        <v>50</v>
      </c>
      <c r="H8" s="6" t="s">
        <v>21</v>
      </c>
      <c r="J8" s="6" t="s">
        <v>41</v>
      </c>
    </row>
    <row r="9" spans="1:10" s="6" customFormat="1" ht="15.75" customHeight="1" x14ac:dyDescent="0.2">
      <c r="A9" s="4">
        <f>+SUBTOTAL(103,B$2:$B9)</f>
        <v>8</v>
      </c>
      <c r="B9" s="5" t="s">
        <v>24</v>
      </c>
      <c r="C9" s="4">
        <v>8090728471</v>
      </c>
      <c r="D9" s="4">
        <v>819694</v>
      </c>
      <c r="E9" t="s">
        <v>43</v>
      </c>
      <c r="F9" t="s">
        <v>51</v>
      </c>
      <c r="G9" t="s">
        <v>50</v>
      </c>
      <c r="H9" s="6" t="s">
        <v>21</v>
      </c>
      <c r="J9" s="6" t="s">
        <v>41</v>
      </c>
    </row>
    <row r="10" spans="1:10" s="6" customFormat="1" ht="15.75" customHeight="1" x14ac:dyDescent="0.2">
      <c r="A10" s="4">
        <f>+SUBTOTAL(103,B$2:$B10)</f>
        <v>9</v>
      </c>
      <c r="B10" s="5" t="s">
        <v>26</v>
      </c>
      <c r="C10" s="4">
        <v>7398948378</v>
      </c>
      <c r="D10" s="4">
        <v>1095051</v>
      </c>
      <c r="E10" t="s">
        <v>43</v>
      </c>
      <c r="F10" t="s">
        <v>52</v>
      </c>
      <c r="G10" t="s">
        <v>50</v>
      </c>
      <c r="H10" s="6" t="s">
        <v>21</v>
      </c>
    </row>
    <row r="11" spans="1:10" s="6" customFormat="1" ht="15.75" customHeight="1" x14ac:dyDescent="0.2">
      <c r="A11" s="4">
        <f>+SUBTOTAL(103,B$2:$B11)</f>
        <v>10</v>
      </c>
      <c r="B11" s="7" t="s">
        <v>28</v>
      </c>
      <c r="C11" s="4">
        <v>9506918987</v>
      </c>
      <c r="D11" s="4">
        <v>1339815</v>
      </c>
      <c r="E11" t="s">
        <v>43</v>
      </c>
      <c r="F11" t="s">
        <v>53</v>
      </c>
      <c r="G11" t="s">
        <v>50</v>
      </c>
      <c r="H11" s="6" t="s">
        <v>21</v>
      </c>
      <c r="J11" s="6" t="s">
        <v>41</v>
      </c>
    </row>
    <row r="12" spans="1:10" s="6" customFormat="1" ht="15.75" customHeight="1" x14ac:dyDescent="0.2">
      <c r="A12" s="4">
        <f>+SUBTOTAL(103,B$2:$B12)</f>
        <v>11</v>
      </c>
      <c r="B12" s="5" t="s">
        <v>31</v>
      </c>
      <c r="C12" s="4">
        <v>9450850560</v>
      </c>
      <c r="D12" s="4">
        <v>819830</v>
      </c>
      <c r="E12" t="s">
        <v>43</v>
      </c>
      <c r="F12" t="s">
        <v>54</v>
      </c>
      <c r="G12" t="s">
        <v>48</v>
      </c>
      <c r="H12" s="6" t="s">
        <v>21</v>
      </c>
      <c r="J12" s="6" t="s">
        <v>41</v>
      </c>
    </row>
    <row r="13" spans="1:10" s="6" customFormat="1" ht="15.75" customHeight="1" x14ac:dyDescent="0.2">
      <c r="A13" s="4">
        <f>+SUBTOTAL(103,B$2:$B13)</f>
        <v>12</v>
      </c>
      <c r="B13" s="5" t="s">
        <v>32</v>
      </c>
      <c r="C13" s="4">
        <v>9451936250</v>
      </c>
      <c r="D13" s="4">
        <v>814655</v>
      </c>
      <c r="E13" t="s">
        <v>43</v>
      </c>
      <c r="F13" t="s">
        <v>55</v>
      </c>
      <c r="G13" t="s">
        <v>48</v>
      </c>
      <c r="H13" s="6" t="s">
        <v>21</v>
      </c>
      <c r="J13" s="6" t="s">
        <v>41</v>
      </c>
    </row>
    <row r="14" spans="1:10" s="6" customFormat="1" ht="15.75" customHeight="1" x14ac:dyDescent="0.2">
      <c r="A14" s="4">
        <f>+SUBTOTAL(103,B$2:$B14)</f>
        <v>13</v>
      </c>
      <c r="B14" s="5" t="s">
        <v>33</v>
      </c>
      <c r="C14" s="4">
        <v>8924810810</v>
      </c>
      <c r="D14" s="4">
        <v>819711</v>
      </c>
      <c r="E14" t="s">
        <v>43</v>
      </c>
      <c r="F14" t="s">
        <v>56</v>
      </c>
      <c r="G14" t="s">
        <v>50</v>
      </c>
      <c r="H14" s="6" t="s">
        <v>21</v>
      </c>
      <c r="J14" s="6" t="s">
        <v>41</v>
      </c>
    </row>
    <row r="15" spans="1:10" s="6" customFormat="1" ht="15.75" customHeight="1" x14ac:dyDescent="0.2">
      <c r="A15" s="4">
        <f>+SUBTOTAL(103,B$2:$B15)</f>
        <v>14</v>
      </c>
      <c r="B15" s="5" t="s">
        <v>34</v>
      </c>
      <c r="C15" s="4">
        <v>9569045382</v>
      </c>
      <c r="D15" s="4">
        <v>820053</v>
      </c>
      <c r="E15" t="s">
        <v>43</v>
      </c>
      <c r="F15" t="s">
        <v>57</v>
      </c>
      <c r="G15" t="s">
        <v>10</v>
      </c>
      <c r="H15" s="6" t="s">
        <v>11</v>
      </c>
      <c r="J15" s="6" t="s">
        <v>41</v>
      </c>
    </row>
    <row r="16" spans="1:10" s="6" customFormat="1" ht="15.75" customHeight="1" x14ac:dyDescent="0.2">
      <c r="A16" s="4">
        <f>+SUBTOTAL(103,B$2:$B16)</f>
        <v>15</v>
      </c>
      <c r="B16" s="5" t="s">
        <v>35</v>
      </c>
      <c r="C16" s="4">
        <v>9236663447</v>
      </c>
      <c r="D16" s="4">
        <v>1338863</v>
      </c>
      <c r="E16" t="s">
        <v>43</v>
      </c>
      <c r="F16" t="s">
        <v>58</v>
      </c>
      <c r="G16" t="s">
        <v>10</v>
      </c>
      <c r="H16" s="6" t="s">
        <v>11</v>
      </c>
      <c r="J16" s="6" t="s">
        <v>41</v>
      </c>
    </row>
    <row r="17" spans="1:10" s="6" customFormat="1" ht="15.75" customHeight="1" x14ac:dyDescent="0.2">
      <c r="A17" s="4">
        <f>+SUBTOTAL(103,B$2:$B17)</f>
        <v>16</v>
      </c>
      <c r="B17" s="5" t="s">
        <v>36</v>
      </c>
      <c r="C17" s="4">
        <v>8423876092</v>
      </c>
      <c r="D17" s="4">
        <v>819736</v>
      </c>
      <c r="E17" t="s">
        <v>43</v>
      </c>
      <c r="F17" t="s">
        <v>59</v>
      </c>
      <c r="G17" t="s">
        <v>10</v>
      </c>
      <c r="H17" s="6" t="s">
        <v>11</v>
      </c>
      <c r="J17" s="6" t="s">
        <v>41</v>
      </c>
    </row>
    <row r="18" spans="1:10" s="6" customFormat="1" ht="15.75" customHeight="1" x14ac:dyDescent="0.2">
      <c r="A18" s="4">
        <f>+SUBTOTAL(103,B$2:$B18)</f>
        <v>17</v>
      </c>
      <c r="B18" s="5" t="s">
        <v>37</v>
      </c>
      <c r="C18" s="4">
        <v>7457987114</v>
      </c>
      <c r="D18" s="4">
        <v>1676131</v>
      </c>
      <c r="E18" t="s">
        <v>43</v>
      </c>
      <c r="F18" t="s">
        <v>60</v>
      </c>
      <c r="G18" t="s">
        <v>48</v>
      </c>
      <c r="H18" s="6" t="s">
        <v>21</v>
      </c>
      <c r="J18" s="6" t="s">
        <v>41</v>
      </c>
    </row>
  </sheetData>
  <autoFilter ref="A1:D18">
    <sortState ref="A3:P20">
      <sortCondition ref="B2:B20"/>
    </sortState>
  </autoFilter>
  <conditionalFormatting sqref="B2:B18">
    <cfRule type="expression" dxfId="1" priority="1">
      <formula>IF(#REF!&lt;&gt;"ü",1,IF(#REF!&lt;&gt;TEXT(TODAY(),"mmm"),1,0))=1</formula>
    </cfRule>
    <cfRule type="expression" dxfId="0" priority="2">
      <formula>IF(#REF!&lt;&gt;"ü",1,IF(#REF!&lt;&gt;TEXT(TODAY(),"mmm"),1,0))=0</formula>
    </cfRule>
  </conditionalFormatting>
  <pageMargins left="0.31496062992125978" right="0.15748031496062989" top="0.39370078740157483" bottom="0.55118110236220474" header="0.19685039370078741" footer="0.15748031496062989"/>
  <pageSetup paperSize="9" scale="72" orientation="portrait"/>
  <headerFooter>
    <oddFooter>&amp;L&amp;7 &amp;Z&amp;F               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Sheet1 (2)</vt:lpstr>
      <vt:lpstr>Sheet1!Print_Area</vt:lpstr>
      <vt:lpstr>'Sheet1 (2)'!Print_Area</vt:lpstr>
      <vt:lpstr>Sheet1!Print_Titles</vt:lpstr>
      <vt:lpstr>'Sheet1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2026-06-20T10:15:24Z</dcterms:created>
  <dcterms:modified xsi:type="dcterms:W3CDTF">2026-06-23T12:43:36Z</dcterms:modified>
</cp:coreProperties>
</file>